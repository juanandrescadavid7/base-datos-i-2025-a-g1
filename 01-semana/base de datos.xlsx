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a\Documents\"/>
    </mc:Choice>
  </mc:AlternateContent>
  <xr:revisionPtr revIDLastSave="0" documentId="8_{92FE04A2-9814-465D-B249-BBFE16445F46}" xr6:coauthVersionLast="47" xr6:coauthVersionMax="47" xr10:uidLastSave="{00000000-0000-0000-0000-000000000000}"/>
  <bookViews>
    <workbookView xWindow="-108" yWindow="-108" windowWidth="23256" windowHeight="12456" xr2:uid="{EB98DAEF-C4AF-4B23-9CF8-211C828F2CE4}"/>
  </bookViews>
  <sheets>
    <sheet name="Principal" sheetId="1" r:id="rId1"/>
    <sheet name="Estudiantes" sheetId="2" r:id="rId2"/>
    <sheet name="Materi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2" i="1"/>
  <c r="H4" i="1"/>
  <c r="H3" i="1"/>
  <c r="H8" i="1"/>
  <c r="H5" i="1"/>
  <c r="H6" i="1"/>
  <c r="H7" i="1"/>
  <c r="C2" i="3"/>
  <c r="B3" i="3"/>
  <c r="C3" i="3" s="1"/>
  <c r="B2" i="3"/>
  <c r="C3" i="2"/>
  <c r="C4" i="2"/>
  <c r="C5" i="2"/>
  <c r="C6" i="2"/>
  <c r="C7" i="2"/>
  <c r="C2" i="2"/>
  <c r="B3" i="2"/>
  <c r="B4" i="2"/>
  <c r="B5" i="2"/>
  <c r="B6" i="2"/>
  <c r="B7" i="2"/>
  <c r="B2" i="2"/>
</calcChain>
</file>

<file path=xl/sharedStrings.xml><?xml version="1.0" encoding="utf-8"?>
<sst xmlns="http://schemas.openxmlformats.org/spreadsheetml/2006/main" count="47" uniqueCount="29">
  <si>
    <t>documento</t>
  </si>
  <si>
    <t>ID Materia</t>
  </si>
  <si>
    <t>Documento</t>
  </si>
  <si>
    <t xml:space="preserve">Nombre </t>
  </si>
  <si>
    <t>Apellido</t>
  </si>
  <si>
    <t>Edad</t>
  </si>
  <si>
    <t>Andres</t>
  </si>
  <si>
    <t>Karina</t>
  </si>
  <si>
    <t>Jhon</t>
  </si>
  <si>
    <t>Valentina</t>
  </si>
  <si>
    <t>Torrejano</t>
  </si>
  <si>
    <t>Rojas</t>
  </si>
  <si>
    <t>Cadavid</t>
  </si>
  <si>
    <t>Cantillo</t>
  </si>
  <si>
    <t>Marin</t>
  </si>
  <si>
    <t>Nombre Estudiante</t>
  </si>
  <si>
    <t>Apellido Estudiante</t>
  </si>
  <si>
    <t>Materia</t>
  </si>
  <si>
    <t xml:space="preserve">Jose </t>
  </si>
  <si>
    <t>Juan</t>
  </si>
  <si>
    <t>Perdomo</t>
  </si>
  <si>
    <t>Calculo</t>
  </si>
  <si>
    <t>Programacion</t>
  </si>
  <si>
    <t>ID</t>
  </si>
  <si>
    <t>Echeverri</t>
  </si>
  <si>
    <t>Chuchito</t>
  </si>
  <si>
    <t>Profesor</t>
  </si>
  <si>
    <t>Nota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</si>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</sst>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4671-081E-4292-A117-D381574B177A}">
  <dimension ref="A1:H9"/>
  <sheetViews>
    <sheetView tabSelected="1" zoomScale="90" workbookViewId="0">
      <selection activeCell="E2" sqref="E2"/>
    </sheetView>
  </sheetViews>
  <sheetFormatPr baseColWidth="10" defaultRowHeight="14.4" x14ac:dyDescent="0.3"/>
  <cols>
    <col min="1" max="1" width="16" customWidth="1"/>
    <col min="2" max="2" width="35.6640625" customWidth="1"/>
    <col min="3" max="3" width="39.21875" customWidth="1"/>
    <col min="4" max="4" width="21.77734375" customWidth="1"/>
    <col min="5" max="5" width="15.6640625" customWidth="1"/>
  </cols>
  <sheetData>
    <row r="1" spans="1:8" ht="21" x14ac:dyDescent="0.4">
      <c r="A1" s="1" t="s">
        <v>0</v>
      </c>
      <c r="B1" s="1" t="s">
        <v>15</v>
      </c>
      <c r="C1" s="1" t="s">
        <v>16</v>
      </c>
      <c r="D1" s="1" t="s">
        <v>1</v>
      </c>
      <c r="E1" s="1" t="s">
        <v>17</v>
      </c>
      <c r="F1" s="1" t="s">
        <v>26</v>
      </c>
      <c r="G1" s="1" t="s">
        <v>27</v>
      </c>
      <c r="H1" s="1" t="s">
        <v>28</v>
      </c>
    </row>
    <row r="2" spans="1:8" x14ac:dyDescent="0.3">
      <c r="A2" s="2">
        <v>2</v>
      </c>
      <c r="B2" s="2" t="s">
        <v>18</v>
      </c>
      <c r="C2" s="2" t="s">
        <v>11</v>
      </c>
      <c r="D2" s="2">
        <v>1</v>
      </c>
      <c r="E2" s="2" t="s">
        <v>21</v>
      </c>
      <c r="F2" s="2" t="s">
        <v>24</v>
      </c>
      <c r="G2" s="2">
        <v>3</v>
      </c>
      <c r="H2" s="2" t="str">
        <f>IF(G2&gt;=3,"Aprobo","Reprobo")</f>
        <v>Aprobo</v>
      </c>
    </row>
    <row r="3" spans="1:8" x14ac:dyDescent="0.3">
      <c r="A3" s="2">
        <v>3</v>
      </c>
      <c r="B3" s="2" t="s">
        <v>19</v>
      </c>
      <c r="C3" s="2" t="s">
        <v>10</v>
      </c>
      <c r="D3" s="2">
        <v>2</v>
      </c>
      <c r="E3" s="2" t="s">
        <v>22</v>
      </c>
      <c r="F3" s="2" t="s">
        <v>25</v>
      </c>
      <c r="G3" s="2">
        <v>3.5</v>
      </c>
      <c r="H3" s="2" t="str">
        <f>IF(G3&gt;=3.1,"Aprobo","Reprobo")</f>
        <v>Aprobo</v>
      </c>
    </row>
    <row r="4" spans="1:8" x14ac:dyDescent="0.3">
      <c r="A4" s="2">
        <v>2</v>
      </c>
      <c r="B4" s="2" t="s">
        <v>18</v>
      </c>
      <c r="C4" s="2" t="s">
        <v>11</v>
      </c>
      <c r="D4" s="2">
        <v>2</v>
      </c>
      <c r="E4" s="2" t="s">
        <v>22</v>
      </c>
      <c r="F4" s="2" t="s">
        <v>25</v>
      </c>
      <c r="G4" s="2">
        <v>2</v>
      </c>
      <c r="H4" s="2" t="str">
        <f>IF(G4&gt;=3.5,"Aprobo","Reprobo")</f>
        <v>Reprobo</v>
      </c>
    </row>
    <row r="5" spans="1:8" x14ac:dyDescent="0.3">
      <c r="A5" s="2">
        <v>1</v>
      </c>
      <c r="B5" s="2" t="s">
        <v>6</v>
      </c>
      <c r="C5" s="2" t="s">
        <v>12</v>
      </c>
      <c r="D5" s="2">
        <v>1</v>
      </c>
      <c r="E5" s="2" t="s">
        <v>21</v>
      </c>
      <c r="F5" s="2" t="s">
        <v>24</v>
      </c>
      <c r="G5" s="2">
        <v>1.5</v>
      </c>
      <c r="H5" s="2" t="str">
        <f t="shared" ref="H5:H7" si="0">IF(G5&gt;=3,"Aprobo","Reprobo")</f>
        <v>Reprobo</v>
      </c>
    </row>
    <row r="6" spans="1:8" x14ac:dyDescent="0.3">
      <c r="A6" s="2">
        <v>5</v>
      </c>
      <c r="B6" s="2" t="s">
        <v>7</v>
      </c>
      <c r="C6" s="2" t="s">
        <v>13</v>
      </c>
      <c r="D6" s="2">
        <v>1</v>
      </c>
      <c r="E6" s="2" t="s">
        <v>21</v>
      </c>
      <c r="F6" s="2" t="s">
        <v>24</v>
      </c>
      <c r="G6" s="2">
        <v>2.6</v>
      </c>
      <c r="H6" s="2" t="str">
        <f t="shared" si="0"/>
        <v>Reprobo</v>
      </c>
    </row>
    <row r="7" spans="1:8" x14ac:dyDescent="0.3">
      <c r="A7" s="2">
        <v>6</v>
      </c>
      <c r="B7" s="2" t="s">
        <v>8</v>
      </c>
      <c r="C7" s="2" t="s">
        <v>14</v>
      </c>
      <c r="D7" s="2">
        <v>2</v>
      </c>
      <c r="E7" s="2" t="s">
        <v>22</v>
      </c>
      <c r="F7" s="2" t="s">
        <v>25</v>
      </c>
      <c r="G7" s="2">
        <v>5</v>
      </c>
      <c r="H7" s="2" t="str">
        <f t="shared" si="0"/>
        <v>Aprobo</v>
      </c>
    </row>
    <row r="8" spans="1:8" x14ac:dyDescent="0.3">
      <c r="A8" s="2">
        <v>4</v>
      </c>
      <c r="B8" s="2" t="s">
        <v>9</v>
      </c>
      <c r="C8" s="2" t="s">
        <v>20</v>
      </c>
      <c r="D8" s="2">
        <v>2</v>
      </c>
      <c r="E8" s="2" t="s">
        <v>22</v>
      </c>
      <c r="F8" s="2" t="s">
        <v>25</v>
      </c>
      <c r="G8" s="2">
        <v>2.2999999999999998</v>
      </c>
      <c r="H8" s="2" t="str">
        <f>IF(G8&gt;=3,"Aprobo","Reprobo")</f>
        <v>Reprobo</v>
      </c>
    </row>
    <row r="9" spans="1:8" x14ac:dyDescent="0.3">
      <c r="A9" s="2">
        <v>1</v>
      </c>
      <c r="B9" s="2" t="s">
        <v>6</v>
      </c>
      <c r="C9" s="2" t="s">
        <v>12</v>
      </c>
      <c r="D9" s="2">
        <v>2</v>
      </c>
      <c r="E9" s="2" t="s">
        <v>22</v>
      </c>
      <c r="F9" s="2" t="s">
        <v>25</v>
      </c>
      <c r="G9" s="2">
        <v>1</v>
      </c>
      <c r="H9" s="2" t="str">
        <f>IF(G9&gt;=3,"Aprobo","Reprobo")</f>
        <v>Reprobo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EE20-475F-4E42-8CBB-53DEDF4C40DD}">
  <dimension ref="A1:D7"/>
  <sheetViews>
    <sheetView zoomScale="102" workbookViewId="0">
      <selection activeCell="B2" sqref="B2"/>
    </sheetView>
  </sheetViews>
  <sheetFormatPr baseColWidth="10" defaultRowHeight="14.4" x14ac:dyDescent="0.3"/>
  <cols>
    <col min="1" max="1" width="16" customWidth="1"/>
    <col min="2" max="2" width="15.33203125" customWidth="1"/>
    <col min="3" max="3" width="14.21875" customWidth="1"/>
    <col min="4" max="4" width="14.88671875" customWidth="1"/>
  </cols>
  <sheetData>
    <row r="1" spans="1:4" ht="23.4" x14ac:dyDescent="0.45">
      <c r="A1" s="3" t="s">
        <v>2</v>
      </c>
      <c r="B1" s="3" t="s">
        <v>3</v>
      </c>
      <c r="C1" s="3" t="s">
        <v>4</v>
      </c>
      <c r="D1" s="3" t="s">
        <v>5</v>
      </c>
    </row>
    <row r="2" spans="1:4" x14ac:dyDescent="0.3">
      <c r="A2" s="2">
        <v>1</v>
      </c>
      <c r="B2" s="2" t="str">
        <f>VLOOKUP(A2,Principal!A2:B9,2,)</f>
        <v>Andres</v>
      </c>
      <c r="C2" s="2" t="str">
        <f>VLOOKUP(B2,Principal!B2:C9,2,)</f>
        <v>Cadavid</v>
      </c>
      <c r="D2" s="2">
        <v>18</v>
      </c>
    </row>
    <row r="3" spans="1:4" x14ac:dyDescent="0.3">
      <c r="A3" s="2">
        <v>2</v>
      </c>
      <c r="B3" s="2" t="str">
        <f>VLOOKUP(A3,Principal!A3:B10,2,)</f>
        <v xml:space="preserve">Jose </v>
      </c>
      <c r="C3" s="2" t="str">
        <f>VLOOKUP(B3,Principal!B3:C10,2,)</f>
        <v>Rojas</v>
      </c>
      <c r="D3" s="2">
        <v>19</v>
      </c>
    </row>
    <row r="4" spans="1:4" x14ac:dyDescent="0.3">
      <c r="A4" s="2">
        <v>3</v>
      </c>
      <c r="B4" s="2" t="e">
        <f>VLOOKUP(A4,Principal!A4:B11,2,)</f>
        <v>#N/A</v>
      </c>
      <c r="C4" s="2" t="e">
        <f>VLOOKUP(B4,Principal!B4:C11,2,)</f>
        <v>#N/A</v>
      </c>
      <c r="D4" s="2">
        <v>17</v>
      </c>
    </row>
    <row r="5" spans="1:4" x14ac:dyDescent="0.3">
      <c r="A5" s="2">
        <v>4</v>
      </c>
      <c r="B5" s="2" t="str">
        <f>VLOOKUP(A5,Principal!A5:B12,2,)</f>
        <v>Valentina</v>
      </c>
      <c r="C5" s="2" t="str">
        <f>VLOOKUP(B5,Principal!B5:C12,2,)</f>
        <v>Perdomo</v>
      </c>
      <c r="D5" s="2">
        <v>15</v>
      </c>
    </row>
    <row r="6" spans="1:4" x14ac:dyDescent="0.3">
      <c r="A6" s="2">
        <v>5</v>
      </c>
      <c r="B6" s="2" t="str">
        <f>VLOOKUP(A6,Principal!A6:B13,2,)</f>
        <v>Karina</v>
      </c>
      <c r="C6" s="2" t="str">
        <f>VLOOKUP(B6,Principal!B6:C13,2,)</f>
        <v>Cantillo</v>
      </c>
      <c r="D6" s="2">
        <v>10</v>
      </c>
    </row>
    <row r="7" spans="1:4" x14ac:dyDescent="0.3">
      <c r="A7" s="2">
        <v>6</v>
      </c>
      <c r="B7" s="2" t="str">
        <f>VLOOKUP(A7,Principal!A7:B14,2,)</f>
        <v>Jhon</v>
      </c>
      <c r="C7" s="2" t="str">
        <f>VLOOKUP(B7,Principal!B7:C14,2,)</f>
        <v>Marin</v>
      </c>
      <c r="D7" s="2">
        <v>28</v>
      </c>
    </row>
  </sheetData>
  <pageMargins left="0.7" right="0.7" top="0.75" bottom="0.75" header="0.3" footer="0.3"/>
  <ignoredErrors>
    <ignoredError sqref="C4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3CD2-EB5E-4767-9C41-FEDD08DDD815}">
  <dimension ref="A1:C3"/>
  <sheetViews>
    <sheetView workbookViewId="0">
      <selection activeCell="C9" sqref="C9"/>
    </sheetView>
  </sheetViews>
  <sheetFormatPr baseColWidth="10" defaultRowHeight="14.4" x14ac:dyDescent="0.3"/>
  <cols>
    <col min="2" max="2" width="14.6640625" customWidth="1"/>
    <col min="3" max="3" width="15.77734375" customWidth="1"/>
  </cols>
  <sheetData>
    <row r="1" spans="1:3" ht="23.4" x14ac:dyDescent="0.45">
      <c r="A1" s="3" t="s">
        <v>23</v>
      </c>
      <c r="B1" s="3" t="s">
        <v>17</v>
      </c>
      <c r="C1" s="3" t="s">
        <v>26</v>
      </c>
    </row>
    <row r="2" spans="1:3" x14ac:dyDescent="0.3">
      <c r="A2" s="2">
        <v>1</v>
      </c>
      <c r="B2" s="2" t="str">
        <f>VLOOKUP(A2,Principal!D2:E8,2,)</f>
        <v>Calculo</v>
      </c>
      <c r="C2" s="2" t="str">
        <f>VLOOKUP(B2,Principal!E2:F8,2,)</f>
        <v>Echeverri</v>
      </c>
    </row>
    <row r="3" spans="1:3" x14ac:dyDescent="0.3">
      <c r="A3" s="2">
        <v>2</v>
      </c>
      <c r="B3" s="2" t="str">
        <f>VLOOKUP(A3,Principal!D3:E9,2,)</f>
        <v>Programacion</v>
      </c>
      <c r="C3" s="2" t="str">
        <f>VLOOKUP(B3,Principal!E3:F9,2,)</f>
        <v>Chuchito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A737160F7D1E4E85DAC25F00DB4570" ma:contentTypeVersion="5" ma:contentTypeDescription="Crear nuevo documento." ma:contentTypeScope="" ma:versionID="8ec75812e77eb8e6f1dd39e6aa54967e">
  <xsd:schema xmlns:xsd="http://www.w3.org/2001/XMLSchema" xmlns:xs="http://www.w3.org/2001/XMLSchema" xmlns:p="http://schemas.microsoft.com/office/2006/metadata/properties" xmlns:ns3="0033f0ee-96b4-41a2-9568-2051e726cb18" targetNamespace="http://schemas.microsoft.com/office/2006/metadata/properties" ma:root="true" ma:fieldsID="bc36077901cb4f932832129831fe3dfc" ns3:_="">
    <xsd:import namespace="0033f0ee-96b4-41a2-9568-2051e726cb1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33f0ee-96b4-41a2-9568-2051e726cb1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8AF66A-5EAE-43A1-8F79-65603F5E9BFA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0033f0ee-96b4-41a2-9568-2051e726cb18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46F3E03-B6D4-4A40-BB10-7827FD4D68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67C783-CC90-4F94-BE29-6D62A53D87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33f0ee-96b4-41a2-9568-2051e726cb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Principal</vt:lpstr>
      <vt:lpstr>Estudiantes</vt:lpstr>
      <vt:lpstr>Materia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cadavid</dc:creator>
  <cp:lastModifiedBy>juan cadavid</cp:lastModifiedBy>
  <cp:lastPrinted>2025-02-10T23:39:17Z</cp:lastPrinted>
  <dcterms:created xsi:type="dcterms:W3CDTF">2025-02-10T00:23:48Z</dcterms:created>
  <dcterms:modified xsi:type="dcterms:W3CDTF">2025-02-10T23:40:51Z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0x010100C3A737160F7D1E4E85DAC25F00DB4570</vt:lpwstr>
  </property>
</Properties>
</file>